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99073241_nebraska_edu/Documents/CIVE 202/Project 4/Project4FinalCode/"/>
    </mc:Choice>
  </mc:AlternateContent>
  <xr:revisionPtr revIDLastSave="54" documentId="8_{6B313D13-E97F-43A0-98E0-0C93AD845CAD}" xr6:coauthVersionLast="47" xr6:coauthVersionMax="47" xr10:uidLastSave="{4EE867B7-AC9B-4F04-8758-237E41CDB302}"/>
  <bookViews>
    <workbookView xWindow="-108" yWindow="-108" windowWidth="23256" windowHeight="12456" xr2:uid="{B88A5A4D-F972-C040-AAEB-03AE3CFEC9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2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 l="1"/>
</calcChain>
</file>

<file path=xl/sharedStrings.xml><?xml version="1.0" encoding="utf-8"?>
<sst xmlns="http://schemas.openxmlformats.org/spreadsheetml/2006/main" count="33" uniqueCount="26">
  <si>
    <t>Day of The Week</t>
  </si>
  <si>
    <t xml:space="preserve">Date </t>
  </si>
  <si>
    <t>Person(s)</t>
  </si>
  <si>
    <t xml:space="preserve">Hours Worked </t>
  </si>
  <si>
    <t xml:space="preserve">Tasks Completed </t>
  </si>
  <si>
    <t>Hourly Rate</t>
  </si>
  <si>
    <t xml:space="preserve">Total Compensation </t>
  </si>
  <si>
    <t>Thursday</t>
  </si>
  <si>
    <t>R. Renner</t>
  </si>
  <si>
    <t>completed most of SOW</t>
  </si>
  <si>
    <t>Saturday</t>
  </si>
  <si>
    <t>completed the code, worked on Gantt chart</t>
  </si>
  <si>
    <t>Monday</t>
  </si>
  <si>
    <t>setting up GitHub</t>
  </si>
  <si>
    <t>Sunday</t>
  </si>
  <si>
    <t>J. Tackett</t>
  </si>
  <si>
    <t>completed part of the ACD</t>
  </si>
  <si>
    <t>completed written report</t>
  </si>
  <si>
    <t>C. Jeanneret</t>
  </si>
  <si>
    <t>completed ACD</t>
  </si>
  <si>
    <t>A. Croner</t>
  </si>
  <si>
    <t>started SOW</t>
  </si>
  <si>
    <t xml:space="preserve">Total </t>
  </si>
  <si>
    <t>Total</t>
  </si>
  <si>
    <t>Tuesday</t>
  </si>
  <si>
    <t>added figures to report, wrote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</si>
</sst>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9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5FEEC-E605-4249-B068-151964DA76F6}" name="Table2" displayName="Table2" ref="A1:G21" totalsRowShown="0" headerRowDxfId="8" dataDxfId="7">
  <autoFilter ref="A1:G21" xr:uid="{3E35FEEC-E605-4249-B068-151964DA76F6}"/>
  <tableColumns count="7">
    <tableColumn id="1" xr3:uid="{DD7BAB81-DEFC-F24A-B36A-22ECC9A56EDE}" name="Day of The Week" dataDxfId="6"/>
    <tableColumn id="2" xr3:uid="{3BED003B-2F2A-574E-B2B7-003BC57B7702}" name="Date " dataDxfId="5"/>
    <tableColumn id="3" xr3:uid="{CAB95FE8-FF2C-5043-8A80-8FF33C924F26}" name="Person(s)" dataDxfId="4"/>
    <tableColumn id="4" xr3:uid="{906C350A-E0EE-534B-BDB1-6E8D41E67E81}" name="Hours Worked " dataDxfId="3"/>
    <tableColumn id="5" xr3:uid="{A6F09674-2833-4E4D-84A5-89E930B5B83B}" name="Tasks Completed " dataDxfId="2"/>
    <tableColumn id="6" xr3:uid="{9FC71D14-D6DD-644B-9C41-955BADF98335}" name="Hourly Rate" dataDxfId="1"/>
    <tableColumn id="7" xr3:uid="{7C435636-86EF-804D-84EA-5151A12118C8}" name="Total Compensation " dataDxfId="0">
      <calculatedColumnFormula>Table2[[#This Row],[Hourly Rate]]*Table2[[#This Row],[Hours Worked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33D-9485-3C46-927D-85481DA1AE01}">
  <dimension ref="A1:G22"/>
  <sheetViews>
    <sheetView tabSelected="1" zoomScale="125" workbookViewId="0">
      <selection activeCell="F12" sqref="F12"/>
    </sheetView>
  </sheetViews>
  <sheetFormatPr defaultColWidth="11" defaultRowHeight="15"/>
  <cols>
    <col min="1" max="1" width="16.90625" customWidth="1"/>
    <col min="2" max="3" width="12.6328125" customWidth="1"/>
    <col min="4" max="4" width="14.36328125" customWidth="1"/>
    <col min="5" max="5" width="70.90625" customWidth="1"/>
    <col min="6" max="6" width="18.36328125" bestFit="1" customWidth="1"/>
    <col min="7" max="7" width="25.45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>
        <v>46114</v>
      </c>
      <c r="C2" s="3" t="s">
        <v>8</v>
      </c>
      <c r="D2" s="3">
        <v>0.75</v>
      </c>
      <c r="E2" s="3" t="s">
        <v>9</v>
      </c>
      <c r="F2" s="5">
        <v>25</v>
      </c>
      <c r="G2" s="5">
        <f>Table2[[#This Row],[Hourly Rate]]*Table2[[#This Row],[Hours Worked ]]</f>
        <v>18.75</v>
      </c>
    </row>
    <row r="3" spans="1:7">
      <c r="A3" s="3" t="s">
        <v>10</v>
      </c>
      <c r="B3" s="4">
        <v>46130</v>
      </c>
      <c r="C3" s="3" t="s">
        <v>8</v>
      </c>
      <c r="D3" s="3">
        <v>2</v>
      </c>
      <c r="E3" s="3" t="s">
        <v>11</v>
      </c>
      <c r="F3" s="5">
        <v>25</v>
      </c>
      <c r="G3" s="5">
        <f>Table2[[#This Row],[Hourly Rate]]*Table2[[#This Row],[Hours Worked ]]</f>
        <v>50</v>
      </c>
    </row>
    <row r="4" spans="1:7">
      <c r="A4" s="2" t="s">
        <v>12</v>
      </c>
      <c r="B4" s="4">
        <v>46132</v>
      </c>
      <c r="C4" s="3" t="s">
        <v>8</v>
      </c>
      <c r="D4" s="3">
        <v>0.5</v>
      </c>
      <c r="E4" s="3" t="s">
        <v>13</v>
      </c>
      <c r="F4" s="5">
        <v>25</v>
      </c>
      <c r="G4" s="5">
        <f>Table2[[#This Row],[Hourly Rate]]*Table2[[#This Row],[Hours Worked ]]</f>
        <v>12.5</v>
      </c>
    </row>
    <row r="5" spans="1:7">
      <c r="A5" s="3" t="s">
        <v>14</v>
      </c>
      <c r="B5" s="4">
        <v>46131</v>
      </c>
      <c r="C5" s="3" t="s">
        <v>15</v>
      </c>
      <c r="D5" s="3">
        <v>0.5</v>
      </c>
      <c r="E5" s="3" t="s">
        <v>16</v>
      </c>
      <c r="F5" s="5">
        <v>25</v>
      </c>
      <c r="G5" s="5">
        <f>Table2[[#This Row],[Hourly Rate]]*Table2[[#This Row],[Hours Worked ]]</f>
        <v>12.5</v>
      </c>
    </row>
    <row r="6" spans="1:7">
      <c r="A6" s="3" t="s">
        <v>12</v>
      </c>
      <c r="B6" s="4">
        <v>46132</v>
      </c>
      <c r="C6" s="3" t="s">
        <v>15</v>
      </c>
      <c r="D6" s="3">
        <v>4</v>
      </c>
      <c r="E6" s="3" t="s">
        <v>17</v>
      </c>
      <c r="F6" s="5">
        <v>25</v>
      </c>
      <c r="G6" s="5">
        <f>Table2[[#This Row],[Hourly Rate]]*Table2[[#This Row],[Hours Worked ]]</f>
        <v>100</v>
      </c>
    </row>
    <row r="7" spans="1:7">
      <c r="A7" s="3" t="s">
        <v>12</v>
      </c>
      <c r="B7" s="4">
        <v>46132</v>
      </c>
      <c r="C7" s="3" t="s">
        <v>18</v>
      </c>
      <c r="D7" s="3">
        <v>1.5</v>
      </c>
      <c r="E7" s="6" t="s">
        <v>19</v>
      </c>
      <c r="F7" s="5">
        <v>25</v>
      </c>
      <c r="G7" s="5">
        <f>Table2[[#This Row],[Hourly Rate]]*Table2[[#This Row],[Hours Worked ]]</f>
        <v>37.5</v>
      </c>
    </row>
    <row r="8" spans="1:7">
      <c r="A8" s="3" t="s">
        <v>7</v>
      </c>
      <c r="B8" s="4">
        <v>46114</v>
      </c>
      <c r="C8" s="3" t="s">
        <v>20</v>
      </c>
      <c r="D8" s="3">
        <v>0.5</v>
      </c>
      <c r="E8" s="3" t="s">
        <v>21</v>
      </c>
      <c r="F8" s="5">
        <v>25</v>
      </c>
      <c r="G8" s="5">
        <f>Table2[[#This Row],[Hourly Rate]]*Table2[[#This Row],[Hours Worked ]]</f>
        <v>12.5</v>
      </c>
    </row>
    <row r="9" spans="1:7">
      <c r="A9" s="3" t="s">
        <v>24</v>
      </c>
      <c r="B9" s="4">
        <v>46133</v>
      </c>
      <c r="C9" s="3" t="s">
        <v>8</v>
      </c>
      <c r="D9" s="3">
        <v>0.5</v>
      </c>
      <c r="E9" s="3" t="s">
        <v>25</v>
      </c>
      <c r="F9" s="5">
        <v>25</v>
      </c>
      <c r="G9" s="5">
        <f>Table2[[#This Row],[Hourly Rate]]*Table2[[#This Row],[Hours Worked ]]</f>
        <v>12.5</v>
      </c>
    </row>
    <row r="10" spans="1:7">
      <c r="A10" s="3"/>
      <c r="B10" s="4"/>
      <c r="C10" s="3"/>
      <c r="D10" s="3"/>
      <c r="E10" s="3"/>
      <c r="F10" s="5"/>
      <c r="G10" s="5">
        <f>Table2[[#This Row],[Hourly Rate]]*Table2[[#This Row],[Hours Worked ]]</f>
        <v>0</v>
      </c>
    </row>
    <row r="11" spans="1:7">
      <c r="A11" s="3"/>
      <c r="B11" s="4"/>
      <c r="C11" s="3"/>
      <c r="D11" s="3"/>
      <c r="E11" s="3"/>
      <c r="F11" s="5"/>
      <c r="G11" s="5">
        <f>Table2[[#This Row],[Hourly Rate]]*Table2[[#This Row],[Hours Worked ]]</f>
        <v>0</v>
      </c>
    </row>
    <row r="12" spans="1:7">
      <c r="A12" s="3"/>
      <c r="B12" s="4"/>
      <c r="C12" s="3"/>
      <c r="D12" s="3"/>
      <c r="E12" s="3"/>
      <c r="F12" s="5"/>
      <c r="G12" s="5">
        <f>Table2[[#This Row],[Hourly Rate]]*Table2[[#This Row],[Hours Worked ]]</f>
        <v>0</v>
      </c>
    </row>
    <row r="13" spans="1:7">
      <c r="A13" s="3"/>
      <c r="B13" s="4"/>
      <c r="C13" s="3"/>
      <c r="D13" s="3"/>
      <c r="E13" s="3"/>
      <c r="F13" s="5"/>
      <c r="G13" s="5">
        <f>Table2[[#This Row],[Hourly Rate]]*Table2[[#This Row],[Hours Worked ]]</f>
        <v>0</v>
      </c>
    </row>
    <row r="14" spans="1:7">
      <c r="A14" s="3"/>
      <c r="B14" s="3"/>
      <c r="C14" s="3"/>
      <c r="D14" s="3"/>
      <c r="E14" s="3"/>
      <c r="F14" s="5"/>
      <c r="G14" s="5">
        <f>Table2[[#This Row],[Hourly Rate]]*Table2[[#This Row],[Hours Worked ]]</f>
        <v>0</v>
      </c>
    </row>
    <row r="15" spans="1:7">
      <c r="A15" s="3"/>
      <c r="B15" s="3"/>
      <c r="C15" s="3"/>
      <c r="D15" s="3"/>
      <c r="E15" s="3"/>
      <c r="F15" s="5"/>
      <c r="G15" s="5">
        <f>Table2[[#This Row],[Hourly Rate]]*Table2[[#This Row],[Hours Worked ]]</f>
        <v>0</v>
      </c>
    </row>
    <row r="16" spans="1:7">
      <c r="A16" s="3"/>
      <c r="B16" s="3"/>
      <c r="C16" s="3"/>
      <c r="D16" s="3"/>
      <c r="E16" s="3"/>
      <c r="F16" s="5"/>
      <c r="G16" s="5">
        <f>Table2[[#This Row],[Hourly Rate]]*Table2[[#This Row],[Hours Worked ]]</f>
        <v>0</v>
      </c>
    </row>
    <row r="17" spans="1:7">
      <c r="A17" s="3"/>
      <c r="B17" s="3"/>
      <c r="C17" s="3"/>
      <c r="D17" s="3"/>
      <c r="E17" s="3"/>
      <c r="F17" s="5"/>
      <c r="G17" s="5">
        <f>Table2[[#This Row],[Hourly Rate]]*Table2[[#This Row],[Hours Worked ]]</f>
        <v>0</v>
      </c>
    </row>
    <row r="18" spans="1:7">
      <c r="A18" s="3"/>
      <c r="B18" s="3"/>
      <c r="C18" s="3"/>
      <c r="D18" s="3"/>
      <c r="E18" s="3"/>
      <c r="F18" s="5"/>
      <c r="G18" s="5">
        <f>Table2[[#This Row],[Hourly Rate]]*Table2[[#This Row],[Hours Worked ]]</f>
        <v>0</v>
      </c>
    </row>
    <row r="19" spans="1:7">
      <c r="A19" s="3"/>
      <c r="B19" s="3"/>
      <c r="C19" s="3"/>
      <c r="D19" s="3"/>
      <c r="E19" s="3"/>
      <c r="F19" s="5"/>
      <c r="G19" s="5">
        <f>Table2[[#This Row],[Hourly Rate]]*Table2[[#This Row],[Hours Worked ]]</f>
        <v>0</v>
      </c>
    </row>
    <row r="20" spans="1:7">
      <c r="A20" s="3"/>
      <c r="B20" s="3"/>
      <c r="C20" s="3"/>
      <c r="D20" s="3"/>
      <c r="E20" s="3"/>
      <c r="F20" s="5"/>
      <c r="G20" s="5">
        <f>Table2[[#This Row],[Hourly Rate]]*Table2[[#This Row],[Hours Worked ]]</f>
        <v>0</v>
      </c>
    </row>
    <row r="21" spans="1:7">
      <c r="G21" s="5">
        <f>Table2[[#This Row],[Hourly Rate]]*Table2[[#This Row],[Hours Worked ]]</f>
        <v>0</v>
      </c>
    </row>
    <row r="22" spans="1:7">
      <c r="C22" s="1" t="s">
        <v>22</v>
      </c>
      <c r="D22" s="1">
        <f>SUM(D2:D20)</f>
        <v>10.25</v>
      </c>
      <c r="F22" s="1" t="s">
        <v>23</v>
      </c>
      <c r="G22" s="1">
        <f>SUM(Table2[[Total Compensation ]])</f>
        <v>256.25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Schaefer Rogers</dc:creator>
  <cp:keywords/>
  <dc:description/>
  <cp:lastModifiedBy>ryleerenner18@gmail.com</cp:lastModifiedBy>
  <cp:revision/>
  <dcterms:created xsi:type="dcterms:W3CDTF">2026-03-03T17:12:45Z</dcterms:created>
  <dcterms:modified xsi:type="dcterms:W3CDTF">2026-04-21T20:17:59Z</dcterms:modified>
  <cp:category/>
  <cp:contentStatus/>
</cp:coreProperties>
</file>